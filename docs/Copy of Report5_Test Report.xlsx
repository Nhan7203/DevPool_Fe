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D133911-8A98-4CA0-B8B1-3FAAEB6A417D}" xr6:coauthVersionLast="47" xr6:coauthVersionMax="47" xr10:uidLastSave="{00000000-0000-0000-0000-000000000000}"/>
  <bookViews>
    <workbookView xWindow="-98" yWindow="-98" windowWidth="21795" windowHeight="12345" tabRatio="821" activeTab="3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</sheet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G11" i="5"/>
  <c r="D11" i="5"/>
  <c r="C7" i="3"/>
  <c r="D7" i="3"/>
  <c r="E7" i="3"/>
  <c r="C8" i="3"/>
  <c r="D8" i="3"/>
  <c r="E8" i="3"/>
  <c r="B8" i="3"/>
  <c r="B7" i="3"/>
  <c r="C6" i="3"/>
  <c r="D6" i="3"/>
  <c r="E6" i="3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<sst xmlns="http://schemas.openxmlformats.org/spreadsheetml/2006/main" count="193" uniqueCount="80">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</sst>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workbookViewId="0">
      <selection activeCell="B3" sqref="B3"/>
    </sheetView>
  </sheetViews>
  <sheetFormatPr defaultColWidth="9" defaultRowHeight="12.75"/>
  <cols>
    <col min="1" max="1" width="28.13281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328125" style="99" customWidth="1"/>
    <col min="7" max="256" width="9" style="99"/>
    <col min="257" max="257" width="28.13281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328125" style="99" customWidth="1"/>
    <col min="263" max="512" width="9" style="99"/>
    <col min="513" max="513" width="28.13281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328125" style="99" customWidth="1"/>
    <col min="519" max="768" width="9" style="99"/>
    <col min="769" max="769" width="28.13281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328125" style="99" customWidth="1"/>
    <col min="775" max="1024" width="9" style="99"/>
    <col min="1025" max="1025" width="28.13281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328125" style="99" customWidth="1"/>
    <col min="1031" max="1280" width="9" style="99"/>
    <col min="1281" max="1281" width="28.13281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328125" style="99" customWidth="1"/>
    <col min="1287" max="1536" width="9" style="99"/>
    <col min="1537" max="1537" width="28.13281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328125" style="99" customWidth="1"/>
    <col min="1543" max="1792" width="9" style="99"/>
    <col min="1793" max="1793" width="28.13281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328125" style="99" customWidth="1"/>
    <col min="1799" max="2048" width="9" style="99"/>
    <col min="2049" max="2049" width="28.13281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328125" style="99" customWidth="1"/>
    <col min="2055" max="2304" width="9" style="99"/>
    <col min="2305" max="2305" width="28.13281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328125" style="99" customWidth="1"/>
    <col min="2311" max="2560" width="9" style="99"/>
    <col min="2561" max="2561" width="28.13281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328125" style="99" customWidth="1"/>
    <col min="2567" max="2816" width="9" style="99"/>
    <col min="2817" max="2817" width="28.13281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328125" style="99" customWidth="1"/>
    <col min="2823" max="3072" width="9" style="99"/>
    <col min="3073" max="3073" width="28.13281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328125" style="99" customWidth="1"/>
    <col min="3079" max="3328" width="9" style="99"/>
    <col min="3329" max="3329" width="28.13281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328125" style="99" customWidth="1"/>
    <col min="3335" max="3584" width="9" style="99"/>
    <col min="3585" max="3585" width="28.13281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328125" style="99" customWidth="1"/>
    <col min="3591" max="3840" width="9" style="99"/>
    <col min="3841" max="3841" width="28.13281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328125" style="99" customWidth="1"/>
    <col min="3847" max="4096" width="9" style="99"/>
    <col min="4097" max="4097" width="28.13281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328125" style="99" customWidth="1"/>
    <col min="4103" max="4352" width="9" style="99"/>
    <col min="4353" max="4353" width="28.13281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328125" style="99" customWidth="1"/>
    <col min="4359" max="4608" width="9" style="99"/>
    <col min="4609" max="4609" width="28.13281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328125" style="99" customWidth="1"/>
    <col min="4615" max="4864" width="9" style="99"/>
    <col min="4865" max="4865" width="28.13281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328125" style="99" customWidth="1"/>
    <col min="4871" max="5120" width="9" style="99"/>
    <col min="5121" max="5121" width="28.13281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328125" style="99" customWidth="1"/>
    <col min="5127" max="5376" width="9" style="99"/>
    <col min="5377" max="5377" width="28.13281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328125" style="99" customWidth="1"/>
    <col min="5383" max="5632" width="9" style="99"/>
    <col min="5633" max="5633" width="28.13281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328125" style="99" customWidth="1"/>
    <col min="5639" max="5888" width="9" style="99"/>
    <col min="5889" max="5889" width="28.13281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328125" style="99" customWidth="1"/>
    <col min="5895" max="6144" width="9" style="99"/>
    <col min="6145" max="6145" width="28.13281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328125" style="99" customWidth="1"/>
    <col min="6151" max="6400" width="9" style="99"/>
    <col min="6401" max="6401" width="28.13281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328125" style="99" customWidth="1"/>
    <col min="6407" max="6656" width="9" style="99"/>
    <col min="6657" max="6657" width="28.13281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328125" style="99" customWidth="1"/>
    <col min="6663" max="6912" width="9" style="99"/>
    <col min="6913" max="6913" width="28.13281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328125" style="99" customWidth="1"/>
    <col min="6919" max="7168" width="9" style="99"/>
    <col min="7169" max="7169" width="28.13281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328125" style="99" customWidth="1"/>
    <col min="7175" max="7424" width="9" style="99"/>
    <col min="7425" max="7425" width="28.13281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328125" style="99" customWidth="1"/>
    <col min="7431" max="7680" width="9" style="99"/>
    <col min="7681" max="7681" width="28.13281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328125" style="99" customWidth="1"/>
    <col min="7687" max="7936" width="9" style="99"/>
    <col min="7937" max="7937" width="28.13281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328125" style="99" customWidth="1"/>
    <col min="7943" max="8192" width="9" style="99"/>
    <col min="8193" max="8193" width="28.13281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328125" style="99" customWidth="1"/>
    <col min="8199" max="8448" width="9" style="99"/>
    <col min="8449" max="8449" width="28.13281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328125" style="99" customWidth="1"/>
    <col min="8455" max="8704" width="9" style="99"/>
    <col min="8705" max="8705" width="28.13281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328125" style="99" customWidth="1"/>
    <col min="8711" max="8960" width="9" style="99"/>
    <col min="8961" max="8961" width="28.13281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328125" style="99" customWidth="1"/>
    <col min="8967" max="9216" width="9" style="99"/>
    <col min="9217" max="9217" width="28.13281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328125" style="99" customWidth="1"/>
    <col min="9223" max="9472" width="9" style="99"/>
    <col min="9473" max="9473" width="28.13281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328125" style="99" customWidth="1"/>
    <col min="9479" max="9728" width="9" style="99"/>
    <col min="9729" max="9729" width="28.13281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328125" style="99" customWidth="1"/>
    <col min="9735" max="9984" width="9" style="99"/>
    <col min="9985" max="9985" width="28.13281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328125" style="99" customWidth="1"/>
    <col min="9991" max="10240" width="9" style="99"/>
    <col min="10241" max="10241" width="28.13281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328125" style="99" customWidth="1"/>
    <col min="10247" max="10496" width="9" style="99"/>
    <col min="10497" max="10497" width="28.13281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328125" style="99" customWidth="1"/>
    <col min="10503" max="10752" width="9" style="99"/>
    <col min="10753" max="10753" width="28.13281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328125" style="99" customWidth="1"/>
    <col min="10759" max="11008" width="9" style="99"/>
    <col min="11009" max="11009" width="28.13281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328125" style="99" customWidth="1"/>
    <col min="11015" max="11264" width="9" style="99"/>
    <col min="11265" max="11265" width="28.13281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328125" style="99" customWidth="1"/>
    <col min="11271" max="11520" width="9" style="99"/>
    <col min="11521" max="11521" width="28.13281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328125" style="99" customWidth="1"/>
    <col min="11527" max="11776" width="9" style="99"/>
    <col min="11777" max="11777" width="28.13281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328125" style="99" customWidth="1"/>
    <col min="11783" max="12032" width="9" style="99"/>
    <col min="12033" max="12033" width="28.13281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328125" style="99" customWidth="1"/>
    <col min="12039" max="12288" width="9" style="99"/>
    <col min="12289" max="12289" width="28.13281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328125" style="99" customWidth="1"/>
    <col min="12295" max="12544" width="9" style="99"/>
    <col min="12545" max="12545" width="28.13281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328125" style="99" customWidth="1"/>
    <col min="12551" max="12800" width="9" style="99"/>
    <col min="12801" max="12801" width="28.13281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328125" style="99" customWidth="1"/>
    <col min="12807" max="13056" width="9" style="99"/>
    <col min="13057" max="13057" width="28.13281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328125" style="99" customWidth="1"/>
    <col min="13063" max="13312" width="9" style="99"/>
    <col min="13313" max="13313" width="28.13281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328125" style="99" customWidth="1"/>
    <col min="13319" max="13568" width="9" style="99"/>
    <col min="13569" max="13569" width="28.13281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328125" style="99" customWidth="1"/>
    <col min="13575" max="13824" width="9" style="99"/>
    <col min="13825" max="13825" width="28.13281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328125" style="99" customWidth="1"/>
    <col min="13831" max="14080" width="9" style="99"/>
    <col min="14081" max="14081" width="28.13281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328125" style="99" customWidth="1"/>
    <col min="14087" max="14336" width="9" style="99"/>
    <col min="14337" max="14337" width="28.13281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328125" style="99" customWidth="1"/>
    <col min="14343" max="14592" width="9" style="99"/>
    <col min="14593" max="14593" width="28.13281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328125" style="99" customWidth="1"/>
    <col min="14599" max="14848" width="9" style="99"/>
    <col min="14849" max="14849" width="28.13281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328125" style="99" customWidth="1"/>
    <col min="14855" max="15104" width="9" style="99"/>
    <col min="15105" max="15105" width="28.13281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328125" style="99" customWidth="1"/>
    <col min="15111" max="15360" width="9" style="99"/>
    <col min="15361" max="15361" width="28.13281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328125" style="99" customWidth="1"/>
    <col min="15367" max="15616" width="9" style="99"/>
    <col min="15617" max="15617" width="28.13281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328125" style="99" customWidth="1"/>
    <col min="15623" max="15872" width="9" style="99"/>
    <col min="15873" max="15873" width="28.13281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328125" style="99" customWidth="1"/>
    <col min="15879" max="16128" width="9" style="99"/>
    <col min="16129" max="16129" width="28.13281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328125" style="99" customWidth="1"/>
    <col min="16135" max="16384" width="9" style="99"/>
  </cols>
  <sheetData>
    <row r="2" spans="1:6" s="96" customFormat="1" ht="75.75" customHeight="1">
      <c r="A2" s="95"/>
      <c r="B2" s="127" t="s">
        <v>78</v>
      </c>
      <c r="C2" s="127"/>
      <c r="D2" s="127"/>
      <c r="E2" s="127"/>
      <c r="F2" s="127"/>
    </row>
    <row r="3" spans="1:6">
      <c r="A3" s="97"/>
      <c r="B3" s="98"/>
      <c r="E3" s="100"/>
    </row>
    <row r="4" spans="1:6" ht="14.25" customHeight="1">
      <c r="A4" s="101" t="s">
        <v>0</v>
      </c>
      <c r="B4" s="128" t="s">
        <v>1</v>
      </c>
      <c r="C4" s="128"/>
      <c r="D4" s="128"/>
      <c r="E4" s="101" t="s">
        <v>2</v>
      </c>
      <c r="F4" s="102"/>
    </row>
    <row r="5" spans="1:6" ht="14.25" customHeight="1">
      <c r="A5" s="101" t="s">
        <v>3</v>
      </c>
      <c r="B5" s="128" t="s">
        <v>4</v>
      </c>
      <c r="C5" s="128"/>
      <c r="D5" s="128"/>
      <c r="E5" s="101" t="s">
        <v>7</v>
      </c>
      <c r="F5" s="103" t="s">
        <v>45</v>
      </c>
    </row>
    <row r="6" spans="1:6" ht="15.75" customHeight="1">
      <c r="A6" s="104" t="s">
        <v>6</v>
      </c>
      <c r="B6" s="129" t="str">
        <f>B5&amp;"_"&amp;"XXX"&amp;"_"&amp;"vx.x"</f>
        <v>&lt;Project Code&gt;_XXX_vx.x</v>
      </c>
      <c r="C6" s="130"/>
      <c r="D6" s="131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79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13" sqref="D13"/>
    </sheetView>
  </sheetViews>
  <sheetFormatPr defaultColWidth="9" defaultRowHeight="12.75"/>
  <cols>
    <col min="1" max="1" width="1.33203125" style="1" customWidth="1"/>
    <col min="2" max="2" width="11.796875" style="3" customWidth="1"/>
    <col min="3" max="3" width="26.46484375" style="4" customWidth="1"/>
    <col min="4" max="4" width="17.1328125" style="4" customWidth="1"/>
    <col min="5" max="5" width="28.1328125" style="4" customWidth="1"/>
    <col min="6" max="6" width="30.6640625" style="4" customWidth="1"/>
    <col min="7" max="16384" width="9" style="1"/>
  </cols>
  <sheetData>
    <row r="1" spans="2:6" ht="24.4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4" t="s">
        <v>0</v>
      </c>
      <c r="C3" s="134"/>
      <c r="D3" s="135" t="e">
        <f>#REF!</f>
        <v>#REF!</v>
      </c>
      <c r="E3" s="135"/>
      <c r="F3" s="135"/>
    </row>
    <row r="4" spans="2:6">
      <c r="B4" s="134" t="s">
        <v>3</v>
      </c>
      <c r="C4" s="134"/>
      <c r="D4" s="135" t="e">
        <f>#REF!</f>
        <v>#REF!</v>
      </c>
      <c r="E4" s="135"/>
      <c r="F4" s="135"/>
    </row>
    <row r="5" spans="2:6" s="9" customFormat="1" ht="84.75" customHeight="1">
      <c r="B5" s="132" t="s">
        <v>17</v>
      </c>
      <c r="C5" s="132"/>
      <c r="D5" s="133" t="s">
        <v>18</v>
      </c>
      <c r="E5" s="133"/>
      <c r="F5" s="13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>
      <c r="B9" s="19">
        <v>1</v>
      </c>
      <c r="C9" s="20" t="s">
        <v>24</v>
      </c>
      <c r="D9" s="94" t="s">
        <v>56</v>
      </c>
      <c r="E9" s="21"/>
      <c r="F9" s="22"/>
    </row>
    <row r="10" spans="2:6">
      <c r="B10" s="19">
        <v>2</v>
      </c>
      <c r="C10" s="20" t="s">
        <v>25</v>
      </c>
      <c r="D10" s="94" t="s">
        <v>56</v>
      </c>
      <c r="E10" s="21"/>
      <c r="F10" s="22"/>
    </row>
    <row r="11" spans="2:6">
      <c r="B11" s="19">
        <v>3</v>
      </c>
      <c r="C11" s="20" t="s">
        <v>26</v>
      </c>
      <c r="D11" s="94" t="s">
        <v>56</v>
      </c>
      <c r="E11" s="21"/>
      <c r="F11" s="22"/>
    </row>
    <row r="12" spans="2:6">
      <c r="B12" s="19">
        <v>4</v>
      </c>
      <c r="C12" s="20" t="s">
        <v>27</v>
      </c>
      <c r="D12" s="94" t="s">
        <v>57</v>
      </c>
      <c r="E12" s="21"/>
      <c r="F12" s="22"/>
    </row>
    <row r="13" spans="2:6">
      <c r="B13" s="19">
        <v>5</v>
      </c>
      <c r="C13" s="20" t="s">
        <v>28</v>
      </c>
      <c r="D13" s="94" t="s">
        <v>57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B2" sqref="B2"/>
    </sheetView>
  </sheetViews>
  <sheetFormatPr defaultColWidth="9" defaultRowHeight="12.75"/>
  <cols>
    <col min="1" max="1" width="4.4648437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6484375" style="1" customWidth="1"/>
    <col min="9" max="9" width="33.1328125" style="1" customWidth="1"/>
    <col min="10" max="16384" width="9" style="1"/>
  </cols>
  <sheetData>
    <row r="1" spans="1:8" ht="25.5" customHeight="1">
      <c r="B1" s="138" t="s">
        <v>77</v>
      </c>
      <c r="C1" s="138"/>
      <c r="D1" s="138"/>
      <c r="E1" s="138"/>
      <c r="F1" s="138"/>
      <c r="G1" s="138"/>
      <c r="H1" s="138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5" t="s">
        <v>1</v>
      </c>
      <c r="D3" s="135"/>
      <c r="E3" s="136" t="s">
        <v>2</v>
      </c>
      <c r="F3" s="136"/>
      <c r="G3" s="50"/>
      <c r="H3" s="51"/>
    </row>
    <row r="4" spans="1:8" ht="12" customHeight="1">
      <c r="B4" s="2" t="s">
        <v>3</v>
      </c>
      <c r="C4" s="135" t="s">
        <v>4</v>
      </c>
      <c r="D4" s="135"/>
      <c r="E4" s="136" t="s">
        <v>5</v>
      </c>
      <c r="F4" s="136"/>
      <c r="G4" s="50"/>
      <c r="H4" s="51"/>
    </row>
    <row r="5" spans="1:8" ht="12" customHeight="1">
      <c r="B5" s="52" t="s">
        <v>6</v>
      </c>
      <c r="C5" s="135" t="str">
        <f>C4&amp;"_"&amp;"Test Report"&amp;"_"&amp;"vx.x"</f>
        <v>&lt;Project Code&gt;_Test Report_vx.x</v>
      </c>
      <c r="D5" s="135"/>
      <c r="E5" s="136" t="s">
        <v>7</v>
      </c>
      <c r="F5" s="136"/>
      <c r="G5" s="50"/>
      <c r="H5" s="53" t="s">
        <v>45</v>
      </c>
    </row>
    <row r="6" spans="1:8" ht="21.75" customHeight="1">
      <c r="A6" s="47"/>
      <c r="B6" s="52" t="s">
        <v>46</v>
      </c>
      <c r="C6" s="137" t="s">
        <v>47</v>
      </c>
      <c r="D6" s="137"/>
      <c r="E6" s="137"/>
      <c r="F6" s="137"/>
      <c r="G6" s="137"/>
      <c r="H6" s="137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str">
        <f>'Feature 1'!B2</f>
        <v>&lt;Feature Name1&gt;</v>
      </c>
      <c r="D11" s="64">
        <f>'Feature 1'!B6</f>
        <v>0</v>
      </c>
      <c r="E11" s="64">
        <f>'Feature 1'!C6</f>
        <v>0</v>
      </c>
      <c r="F11" s="64">
        <f>'Feature 1'!D6</f>
        <v>6</v>
      </c>
      <c r="G11" s="64">
        <f>'Feature 1'!E6</f>
        <v>0</v>
      </c>
      <c r="H11" s="66">
        <f>'Feature 1'!B4</f>
        <v>8</v>
      </c>
    </row>
    <row r="12" spans="1:8">
      <c r="A12" s="56"/>
      <c r="B12" s="62">
        <v>2</v>
      </c>
      <c r="C12" s="63" t="str">
        <f>'Feature 2'!B2</f>
        <v>&lt;Feature Name2&gt;</v>
      </c>
      <c r="D12" s="64">
        <f>'Feature 2'!B6</f>
        <v>0</v>
      </c>
      <c r="E12" s="64">
        <f>'Feature 2'!C6</f>
        <v>0</v>
      </c>
      <c r="F12" s="64">
        <f>'Feature 2'!D6</f>
        <v>5</v>
      </c>
      <c r="G12" s="64">
        <f>'Feature 2'!E6</f>
        <v>0</v>
      </c>
      <c r="H12" s="64">
        <f>'Feature 2'!B4</f>
        <v>7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50</v>
      </c>
      <c r="D14" s="69">
        <f>SUM(D9:D13)</f>
        <v>0</v>
      </c>
      <c r="E14" s="69">
        <f>SUM(E9:E13)</f>
        <v>0</v>
      </c>
      <c r="F14" s="69">
        <f>SUM(F9:F13)</f>
        <v>11</v>
      </c>
      <c r="G14" s="69">
        <f>SUM(G9:G13)</f>
        <v>0</v>
      </c>
      <c r="H14" s="70">
        <f>SUM(H9:H13)</f>
        <v>15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51</v>
      </c>
      <c r="E16" s="75">
        <f>(D14+E14)*100/(H14-G14)</f>
        <v>0</v>
      </c>
      <c r="F16" s="1" t="s">
        <v>52</v>
      </c>
      <c r="H16" s="33"/>
    </row>
    <row r="17" spans="3:8">
      <c r="C17" s="74" t="s">
        <v>53</v>
      </c>
      <c r="E17" s="75">
        <f>D14*100/(H14-G14)</f>
        <v>0</v>
      </c>
      <c r="F17" s="1" t="s">
        <v>52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9"/>
  <sheetViews>
    <sheetView tabSelected="1" zoomScale="85" zoomScaleNormal="85" workbookViewId="0">
      <pane ySplit="10" topLeftCell="A11" activePane="bottomLeft" state="frozen"/>
      <selection pane="bottomLeft" activeCell="E23" sqref="E23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4.1328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328125" style="1" customWidth="1"/>
    <col min="17" max="17" width="8.1328125" style="28" customWidth="1"/>
    <col min="18" max="18" width="7.6640625" style="1" hidden="1" customWidth="1"/>
    <col min="19" max="16384" width="9" style="1"/>
  </cols>
  <sheetData>
    <row r="1" spans="1:18" ht="13.15" thickBot="1"/>
    <row r="2" spans="1:18" s="30" customFormat="1" ht="15" customHeight="1">
      <c r="A2" s="92" t="s">
        <v>58</v>
      </c>
      <c r="B2" s="139" t="s">
        <v>59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COUNTA(A12:A1000)</f>
        <v>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COUNTIF($F10:$F998,B5)</f>
        <v>0</v>
      </c>
      <c r="C6" s="85">
        <f t="shared" ref="C6:E6" si="0">COUNTIF($F10:$F998,C5)</f>
        <v>0</v>
      </c>
      <c r="D6" s="85">
        <f t="shared" si="0"/>
        <v>6</v>
      </c>
      <c r="E6" s="91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COUNTIF($F10:$F998,B5)</f>
        <v>0</v>
      </c>
      <c r="C7" s="85">
        <f t="shared" ref="C7:E7" si="1">COUNTIF($F10:$F998,C5)</f>
        <v>0</v>
      </c>
      <c r="D7" s="85">
        <f t="shared" si="1"/>
        <v>6</v>
      </c>
      <c r="E7" s="91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COUNTIF($F10:$F998,B5)</f>
        <v>0</v>
      </c>
      <c r="C8" s="89">
        <f t="shared" ref="C8:E8" si="2">COUNTIF($F10:$F998,C5)</f>
        <v>0</v>
      </c>
      <c r="D8" s="89">
        <f t="shared" si="2"/>
        <v>6</v>
      </c>
      <c r="E8" s="90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24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25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7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7" s="30" customFormat="1" ht="15.75" customHeight="1">
      <c r="A18" s="79" t="s">
        <v>26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outlineLevel="1">
      <c r="A19" s="39" t="s">
        <v>74</v>
      </c>
      <c r="B19" s="39" t="s">
        <v>44</v>
      </c>
      <c r="C19" s="39"/>
      <c r="D19" s="39"/>
      <c r="E19" s="39"/>
      <c r="F19" s="39" t="s">
        <v>61</v>
      </c>
      <c r="G19" s="39"/>
      <c r="H19" s="39"/>
      <c r="I19" s="39" t="s">
        <v>61</v>
      </c>
      <c r="J19" s="39"/>
      <c r="K19" s="39"/>
      <c r="L19" s="39" t="s">
        <v>61</v>
      </c>
      <c r="M19" s="39"/>
      <c r="N19" s="39"/>
      <c r="O19" s="42"/>
      <c r="Q19" s="43"/>
    </row>
  </sheetData>
  <mergeCells count="3">
    <mergeCell ref="B2:E2"/>
    <mergeCell ref="B4:E4"/>
    <mergeCell ref="B3:E3"/>
  </mergeCells>
  <phoneticPr fontId="0" type="noConversion"/>
  <dataValidations disablePrompts="1" count="2">
    <dataValidation type="list" allowBlank="1" showErrorMessage="1" sqref="G2:G3 G9 G20:G147 I12:I19 J2:J3 J9 J20:J147 F12:F19 M2:M3 M9 M20:M147 L12:L19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328125" style="1" customWidth="1"/>
    <col min="17" max="17" width="8.1328125" style="28" customWidth="1"/>
    <col min="18" max="18" width="7.6640625" style="1" hidden="1" customWidth="1"/>
    <col min="19" max="16384" width="9" style="1"/>
  </cols>
  <sheetData>
    <row r="1" spans="1:18" ht="13.15" thickBot="1"/>
    <row r="2" spans="1:18" s="30" customFormat="1" ht="15" customHeight="1">
      <c r="A2" s="92" t="s">
        <v>58</v>
      </c>
      <c r="B2" s="139" t="s">
        <v>60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COUNTA(A12:A998)</f>
        <v>7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5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5">
      <c r="A18" s="1">
        <v>6</v>
      </c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Nhân Nguyễn</cp:lastModifiedBy>
  <cp:lastPrinted>2010-11-12T10:33:20Z</cp:lastPrinted>
  <dcterms:created xsi:type="dcterms:W3CDTF">2020-03-17T17:34:29Z</dcterms:created>
  <dcterms:modified xsi:type="dcterms:W3CDTF">2025-11-23T15:14:11Z</dcterms:modified>
  <cp:category>BM</cp:category>
</cp:coreProperties>
</file>